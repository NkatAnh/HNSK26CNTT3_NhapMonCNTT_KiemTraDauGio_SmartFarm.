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<sst xmlns="http://schemas.openxmlformats.org/spreadsheetml/2006/main" count="48" uniqueCount="37">
  <si>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</si>
  <si>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</si>
  <si>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</si>
  <si>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</si>
  <si>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</si>
  <si>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</si>
  <si>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</si>
  <si>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</si>
  <si>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</si>
  <si>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</si>
  <si>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</si>
  <si>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</si>
  <si>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</si>
  <si>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</si>
  <si>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</si>
  <si>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</si>
  <si>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</si>
  <si>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</si>
  <si>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</si>
  <si>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 xml:space="preserve">ma_linh_kien </t>
  </si>
  <si>
    <t>dung_luong_ram</t>
  </si>
  <si>
    <t>ngay_lap_dat</t>
  </si>
  <si>
    <t>ma_linh_kien_sach</t>
  </si>
  <si>
    <t>ST01</t>
  </si>
  <si>
    <t xml:space="preserve">LK02 </t>
  </si>
  <si>
    <t>ST02</t>
  </si>
  <si>
    <t xml:space="preserve"> LK01</t>
  </si>
  <si>
    <t>ST03</t>
  </si>
  <si>
    <t xml:space="preserve">LK05 </t>
  </si>
  <si>
    <t>ST04</t>
  </si>
  <si>
    <t>ST05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</si>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</sst>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4" sqref="D4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4">
        <v>1450000</v>
      </c>
      <c r="D2" t="s">
        <v>6</v>
      </c>
    </row>
    <row r="3" spans="1:4">
      <c r="A3" t="s">
        <v>7</v>
      </c>
      <c r="B3" t="s">
        <v>8</v>
      </c>
      <c r="C3" s="4">
        <v>6200000</v>
      </c>
      <c r="D3" t="s">
        <v>6</v>
      </c>
    </row>
    <row r="4" spans="1:4">
      <c r="A4" t="s">
        <v>9</v>
      </c>
      <c r="B4" t="s">
        <v>10</v>
      </c>
      <c r="C4" s="4">
        <v>2300000</v>
      </c>
      <c r="D4" t="s">
        <v>6</v>
      </c>
    </row>
    <row r="5" spans="1:4">
      <c r="A5" t="s">
        <v>11</v>
      </c>
      <c r="B5" t="s">
        <v>12</v>
      </c>
      <c r="C5" s="4">
        <v>5400000</v>
      </c>
      <c r="D5" t="s">
        <v>13</v>
      </c>
    </row>
    <row r="6" spans="1:4">
      <c r="A6" t="s">
        <v>14</v>
      </c>
      <c r="B6" t="s">
        <v>15</v>
      </c>
      <c r="C6" s="4">
        <v>4200000</v>
      </c>
      <c r="D6" t="s">
        <v>6</v>
      </c>
    </row>
    <row r="7" spans="1:4">
      <c r="A7" t="s">
        <v>16</v>
      </c>
      <c r="B7" t="s">
        <v>17</v>
      </c>
      <c r="C7" s="4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:F1"/>
    </sheetView>
  </sheetViews>
  <sheetFormatPr defaultColWidth="9" defaultRowHeight="14.4" outlineLevelCol="5"/>
  <cols>
    <col min="1" max="4" width="24" customWidth="1"/>
    <col min="5" max="5" width="17.6666666666667" customWidth="1"/>
    <col min="6" max="6" width="22.1111111111111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2" t="s">
        <v>22</v>
      </c>
      <c r="F1" s="2" t="s">
        <v>1</v>
      </c>
    </row>
    <row r="2" spans="1:6">
      <c r="A2" t="s">
        <v>23</v>
      </c>
      <c r="B2" t="s">
        <v>24</v>
      </c>
      <c r="C2">
        <v>16</v>
      </c>
      <c r="D2" s="3">
        <v>46093</v>
      </c>
      <c r="E2" t="str">
        <f>TRIM(B2)</f>
        <v>LK02</v>
      </c>
      <c r="F2" t="str">
        <f>VLOOKUP(E2,'danh-muc-linh-kien'!$A$2:$D$7,2,0)</f>
        <v>Intel NUC i3</v>
      </c>
    </row>
    <row r="3" spans="1:6">
      <c r="A3" t="s">
        <v>25</v>
      </c>
      <c r="B3" t="s">
        <v>26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VLOOKUP(E3,'danh-muc-linh-kien'!$A$2:$D$7,2,0)</f>
        <v>Raspberry Pi 4 Model B</v>
      </c>
    </row>
    <row r="4" spans="1:6">
      <c r="A4" t="s">
        <v>27</v>
      </c>
      <c r="B4" t="s">
        <v>28</v>
      </c>
      <c r="C4">
        <v>8</v>
      </c>
      <c r="D4" s="3">
        <v>46114</v>
      </c>
      <c r="E4" t="str">
        <f t="shared" si="0"/>
        <v>LK05</v>
      </c>
      <c r="F4" t="str">
        <f>VLOOKUP(E4,'danh-muc-linh-kien'!$A$2:$D$7,2,0)</f>
        <v>Mini PC Fanless N100</v>
      </c>
    </row>
    <row r="5" spans="1:6">
      <c r="A5" t="s">
        <v>29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VLOOKUP(E5,'danh-muc-linh-kien'!$A$2:$D$7,2,0)</f>
        <v>Orange Pi 5</v>
      </c>
    </row>
    <row r="6" spans="1:6">
      <c r="A6" t="s">
        <v>30</v>
      </c>
      <c r="B6" t="s">
        <v>24</v>
      </c>
      <c r="C6">
        <v>16</v>
      </c>
      <c r="D6" s="3">
        <v>46133</v>
      </c>
      <c r="E6" t="str">
        <f t="shared" si="0"/>
        <v>LK02</v>
      </c>
      <c r="F6" t="str">
        <f>VLOOKUP(E6,'danh-muc-linh-kien'!$A$2:$D$7,2,0)</f>
        <v>Intel NUC i3</v>
      </c>
    </row>
    <row r="7" spans="1:6">
      <c r="A7" t="s">
        <v>31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VLOOKUP(E7,'danh-muc-linh-kien'!$A$2:$D$7,2,0)</f>
        <v>Synology DS220j NAS</v>
      </c>
    </row>
    <row r="8" spans="1:6">
      <c r="A8" t="s">
        <v>32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VLOOKUP(E8,'danh-muc-linh-kien'!$A$2:$D$7,2,0)</f>
        <v>Raspberry Pi 4 Model B</v>
      </c>
    </row>
    <row r="9" spans="1:6">
      <c r="A9" t="s">
        <v>33</v>
      </c>
      <c r="B9" t="s">
        <v>34</v>
      </c>
      <c r="C9">
        <v>8</v>
      </c>
      <c r="D9" s="3">
        <v>46174</v>
      </c>
      <c r="E9" t="str">
        <f t="shared" si="0"/>
        <v>LK04</v>
      </c>
      <c r="F9" t="str">
        <f>VLOOKUP(E9,'danh-muc-linh-kien'!$A$2:$D$7,2,0)</f>
        <v>Dell Optiplex Micro</v>
      </c>
    </row>
    <row r="10" spans="1:6">
      <c r="A10" t="s">
        <v>35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VLOOKUP(E10,'danh-muc-linh-kien'!$A$2:$D$7,2,0)</f>
        <v>Orange Pi 5</v>
      </c>
    </row>
    <row r="11" spans="1:6">
      <c r="A11" t="s">
        <v>36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VLOOKUP(E11,'danh-muc-linh-kien'!$A$2:$D$7,2,0)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Nhật</cp:lastModifiedBy>
  <dcterms:created xsi:type="dcterms:W3CDTF">2026-10-13T00:17:00Z</dcterms:created>
  <dcterms:modified xsi:type="dcterms:W3CDTF">2026-10-27T08:56:31Z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DB77906DACEA462C8C5B12A0B0CDDDD0_12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